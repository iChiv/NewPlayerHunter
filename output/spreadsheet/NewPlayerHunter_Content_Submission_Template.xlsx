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球员 Players" sheetId="2" state="visible" r:id="rId2"/>
    <sheet name="招聘 Demands" sheetId="3" state="visible" r:id="rId3"/>
    <sheet name="招聘槽位 DemandSlots" sheetId="4" state="visible" r:id="rId4"/>
    <sheet name="邮件 Mails" sheetId="5" state="visible" r:id="rId5"/>
    <sheet name="期刊 Issues" sheetId="6" state="visible" r:id="rId6"/>
    <sheet name="期刊页面 MagazinePages" sheetId="7" state="visible" r:id="rId7"/>
    <sheet name="附件 Assets" sheetId="8" state="visible" r:id="rId8"/>
    <sheet name="提交检查" sheetId="9" state="visible" r:id="rId9"/>
  </sheets>
  <definedNames>
    <definedName name="_xlnm._FilterDatabase" localSheetId="1" hidden="1">'球员 Players'!$A$4:$S$205</definedName>
    <definedName name="_xlnm._FilterDatabase" localSheetId="2" hidden="1">'招聘 Demands'!$A$4:$N$205</definedName>
    <definedName name="_xlnm._FilterDatabase" localSheetId="3" hidden="1">'招聘槽位 DemandSlots'!$A$4:$I$205</definedName>
    <definedName name="_xlnm._FilterDatabase" localSheetId="4" hidden="1">'邮件 Mails'!$A$4:$T$205</definedName>
    <definedName name="_xlnm._FilterDatabase" localSheetId="5" hidden="1">'期刊 Issues'!$A$4:$K$205</definedName>
    <definedName name="_xlnm._FilterDatabase" localSheetId="6" hidden="1">'期刊页面 MagazinePages'!$A$4:$W$205</definedName>
    <definedName name="_xlnm._FilterDatabase" localSheetId="7" hidden="1">'附件 Assets'!$A$4:$K$205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6000"/>
    </font>
    <font>
      <b val="1"/>
      <color rgb="0013202B"/>
    </font>
    <font>
      <b val="1"/>
      <color rgb="00FFFFFF"/>
    </font>
    <font>
      <color rgb="00217346"/>
    </font>
    <font>
      <color rgb="001F4E78"/>
    </font>
  </fonts>
  <fills count="7">
    <fill>
      <patternFill/>
    </fill>
    <fill>
      <patternFill patternType="gray125"/>
    </fill>
    <fill>
      <patternFill patternType="solid">
        <fgColor rgb="0013202B"/>
      </patternFill>
    </fill>
    <fill>
      <patternFill patternType="solid">
        <fgColor rgb="00FCE5CD"/>
      </patternFill>
    </fill>
    <fill>
      <patternFill patternType="solid">
        <fgColor rgb="00E7EAED"/>
      </patternFill>
    </fill>
    <fill>
      <patternFill patternType="solid">
        <fgColor rgb="001E8C78"/>
      </patternFill>
    </fill>
    <fill>
      <patternFill patternType="solid">
        <fgColor rgb="00D9F0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pivotButton="0" quotePrefix="0" xfId="0"/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5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EB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New Player Hunter</author>
  </authors>
  <commentList>
    <comment ref="A4" authorId="0" shapeId="0">
      <text>
        <t>必填。稳定球员 ID，例如 player.rocket.rory</t>
      </text>
    </comment>
    <comment ref="B4" authorId="0" shapeId="0">
      <text>
        <t>必填。Draft / Ready / Approved</t>
      </text>
    </comment>
    <comment ref="C4" authorId="0" shapeId="0">
      <text>
        <t>必填。中文显示名</t>
      </text>
    </comment>
    <comment ref="D4" authorId="0" shapeId="0">
      <text>
        <t>可选。英文显示名，开发阶段可空</t>
      </text>
    </comment>
    <comment ref="E4" authorId="0" shapeId="0">
      <text>
        <t>必填。玩家可见简介，30–80 字</t>
      </text>
    </comment>
    <comment ref="F4" authorId="0" shapeId="0">
      <text>
        <t>可选。英文简介</t>
      </text>
    </comment>
    <comment ref="G4" authorId="0" shapeId="0">
      <text>
        <t>必填。公开位置枚举；允许重复</t>
      </text>
    </comment>
    <comment ref="H4" authorId="0" shapeId="0">
      <text>
        <t>必填。隐藏真实能力 0–100</t>
      </text>
    </comment>
    <comment ref="I4" authorId="0" shapeId="0">
      <text>
        <t>必填。隐藏体能 0–100</t>
      </text>
    </comment>
    <comment ref="J4" authorId="0" shapeId="0">
      <text>
        <t>必填。隐藏职业性 0–100</t>
      </text>
    </comment>
    <comment ref="O4" authorId="0" shapeId="0">
      <text>
        <t>必填。本人、经纪人或亲友的公开声明</t>
      </text>
    </comment>
    <comment ref="P4" authorId="0" shapeId="0">
      <text>
        <t>可选。英文公开声明</t>
      </text>
    </comment>
    <comment ref="Q4" authorId="0" shapeId="0">
      <text>
        <t>必填。公开旁证或交叉信息</t>
      </text>
    </comment>
    <comment ref="R4" authorId="0" shapeId="0">
      <text>
        <t>可选。英文旁证</t>
      </text>
    </comment>
    <comment ref="S4" authorId="0" shapeId="0">
      <text>
        <t>必填。公开证据可靠性枚举</t>
      </text>
    </comment>
    <comment ref="T4" authorId="0" shapeId="0">
      <text>
        <t>可选。仅给编辑看的原型和笑点说明，不进入游戏</t>
      </text>
    </comment>
    <comment ref="U4" authorId="0" shapeId="0">
      <text>
        <t>可选。原创肖像构图、服装、表情和禁止元素</t>
      </text>
    </comment>
    <comment ref="V4" authorId="0" shapeId="0">
      <text>
        <t>可选。对应附件文件名</t>
      </text>
    </comment>
    <comment ref="W4" authorId="0" shapeId="0">
      <text>
        <t>可选。给整合人员的备注</t>
      </text>
    </comment>
  </commentList>
</comments>
</file>

<file path=xl/comments/comment2.xml><?xml version="1.0" encoding="utf-8"?>
<comments xmlns="http://schemas.openxmlformats.org/spreadsheetml/2006/main">
  <authors>
    <author>New Player Hunter</author>
  </authors>
  <commentList>
    <comment ref="A4" authorId="0" shapeId="0">
      <text>
        <t>必填。稳定招聘 ID</t>
      </text>
    </comment>
    <comment ref="B4" authorId="0" shapeId="0">
      <text>
        <t>必填。提交状态</t>
      </text>
    </comment>
    <comment ref="C4" authorId="0" shapeId="0">
      <text>
        <t>必填。稳定虚构俱乐部 ID</t>
      </text>
    </comment>
    <comment ref="D4" authorId="0" shapeId="0">
      <text>
        <t>必填。中文招聘标题</t>
      </text>
    </comment>
    <comment ref="E4" authorId="0" shapeId="0">
      <text>
        <t>可选。英文标题</t>
      </text>
    </comment>
    <comment ref="F4" authorId="0" shapeId="0">
      <text>
        <t>必填。公开招聘描述</t>
      </text>
    </comment>
    <comment ref="G4" authorId="0" shapeId="0">
      <text>
        <t>可选。英文描述</t>
      </text>
    </comment>
    <comment ref="H4" authorId="0" shapeId="0">
      <text>
        <t>必填。开放周</t>
      </text>
    </comment>
    <comment ref="I4" authorId="0" shapeId="0">
      <text>
        <t>必填。截止周，不早于开放周</t>
      </text>
    </comment>
    <comment ref="J4" authorId="0" shapeId="0">
      <text>
        <t>必填。基础委托价</t>
      </text>
    </comment>
    <comment ref="K4" authorId="0" shapeId="0">
      <text>
        <t>必填。付款时机、折扣和条件</t>
      </text>
    </comment>
    <comment ref="L4" authorId="0" shapeId="0">
      <text>
        <t>可选。英文付款条款</t>
      </text>
    </comment>
    <comment ref="M4" authorId="0" shapeId="0">
      <text>
        <t>可选。剧情、球队立场和后果备注</t>
      </text>
    </comment>
    <comment ref="N4" authorId="0" shapeId="0">
      <text>
        <t>可选。整合备注</t>
      </text>
    </comment>
  </commentList>
</comments>
</file>

<file path=xl/comments/comment3.xml><?xml version="1.0" encoding="utf-8"?>
<comments xmlns="http://schemas.openxmlformats.org/spreadsheetml/2006/main">
  <authors>
    <author>New Player Hunter</author>
  </authors>
  <commentList>
    <comment ref="A4" authorId="0" shapeId="0">
      <text>
        <t>必填。稳定槽位 ID</t>
      </text>
    </comment>
    <comment ref="B4" authorId="0" shapeId="0">
      <text>
        <t>必填。所属招聘 ID</t>
      </text>
    </comment>
    <comment ref="C4" authorId="0" shapeId="0">
      <text>
        <t>必填。同一招聘中的显示顺序</t>
      </text>
    </comment>
    <comment ref="D4" authorId="0" shapeId="0">
      <text>
        <t>必填。需要的位置枚举</t>
      </text>
    </comment>
    <comment ref="E4" authorId="0" shapeId="0">
      <text>
        <t>必填。隐藏最低能力 0–100</t>
      </text>
    </comment>
    <comment ref="F4" authorId="0" shapeId="0">
      <text>
        <t>必填。隐藏偏好体能 0–100</t>
      </text>
    </comment>
    <comment ref="G4" authorId="0" shapeId="0">
      <text>
        <t>必填。隐藏偏好职业性 0–100</t>
      </text>
    </comment>
    <comment ref="H4" authorId="0" shapeId="0">
      <text>
        <t>必填。TRUE=必需，FALSE=可选</t>
      </text>
    </comment>
    <comment ref="I4" authorId="0" shapeId="0">
      <text>
        <t>可选。整合备注</t>
      </text>
    </comment>
  </commentList>
</comments>
</file>

<file path=xl/comments/comment4.xml><?xml version="1.0" encoding="utf-8"?>
<comments xmlns="http://schemas.openxmlformats.org/spreadsheetml/2006/main">
  <authors>
    <author>New Player Hunter</author>
  </authors>
  <commentList>
    <comment ref="A4" authorId="0" shapeId="0">
      <text>
        <t>必填。稳定邮件 ID</t>
      </text>
    </comment>
    <comment ref="B4" authorId="0" shapeId="0">
      <text>
        <t>必填。提交状态</t>
      </text>
    </comment>
    <comment ref="C4" authorId="0" shapeId="0">
      <text>
        <t>必填。邮件类型枚举</t>
      </text>
    </comment>
    <comment ref="D4" authorId="0" shapeId="0">
      <text>
        <t>必填。到达周</t>
      </text>
    </comment>
    <comment ref="E4" authorId="0" shapeId="0">
      <text>
        <t>必填。同周到达顺序，数字越小越早</t>
      </text>
    </comment>
    <comment ref="F4" authorId="0" shapeId="0">
      <text>
        <t>必填。显示时间，例如 周一 08:20</t>
      </text>
    </comment>
    <comment ref="G4" authorId="0" shapeId="0">
      <text>
        <t>可选。英文时间</t>
      </text>
    </comment>
    <comment ref="H4" authorId="0" shapeId="0">
      <text>
        <t>必填。中文发件人</t>
      </text>
    </comment>
    <comment ref="I4" authorId="0" shapeId="0">
      <text>
        <t>可选。英文发件人</t>
      </text>
    </comment>
    <comment ref="J4" authorId="0" shapeId="0">
      <text>
        <t>必填。中文标题，不超过 30 字</t>
      </text>
    </comment>
    <comment ref="K4" authorId="0" shapeId="0">
      <text>
        <t>可选。英文标题</t>
      </text>
    </comment>
    <comment ref="L4" authorId="0" shapeId="0">
      <text>
        <t>必填。编辑用内容简述</t>
      </text>
    </comment>
    <comment ref="M4" authorId="0" shapeId="0">
      <text>
        <t>可选。英文简述</t>
      </text>
    </comment>
    <comment ref="N4" authorId="0" shapeId="0">
      <text>
        <t>必填。邮件正文；列表摘要自动从这里截取</t>
      </text>
    </comment>
    <comment ref="O4" authorId="0" shapeId="0">
      <text>
        <t>可选。英文正文</t>
      </text>
    </comment>
    <comment ref="P4" authorId="0" shapeId="0">
      <text>
        <t>必填。来源、立场、时效性</t>
      </text>
    </comment>
    <comment ref="Q4" authorId="0" shapeId="0">
      <text>
        <t>可选。英文来源说明</t>
      </text>
    </comment>
    <comment ref="R4" authorId="0" shapeId="0">
      <text>
        <t>可选。关联球员 ID；无则留空</t>
      </text>
    </comment>
    <comment ref="S4" authorId="0" shapeId="0">
      <text>
        <t>可选。关联招聘 ID；无则留空</t>
      </text>
    </comment>
    <comment ref="T4" authorId="0" shapeId="0">
      <text>
        <t>可选。整合备注</t>
      </text>
    </comment>
  </commentList>
</comments>
</file>

<file path=xl/comments/comment5.xml><?xml version="1.0" encoding="utf-8"?>
<comments xmlns="http://schemas.openxmlformats.org/spreadsheetml/2006/main">
  <authors>
    <author>New Player Hunter</author>
  </authors>
  <commentList>
    <comment ref="A4" authorId="0" shapeId="0">
      <text>
        <t>必填。稳定期刊 ID</t>
      </text>
    </comment>
    <comment ref="B4" authorId="0" shapeId="0">
      <text>
        <t>必填。提交状态</t>
      </text>
    </comment>
    <comment ref="C4" authorId="0" shapeId="0">
      <text>
        <t>必填。发行周</t>
      </text>
    </comment>
    <comment ref="D4" authorId="0" shapeId="0">
      <text>
        <t>必填。中文刊名</t>
      </text>
    </comment>
    <comment ref="E4" authorId="0" shapeId="0">
      <text>
        <t>可选。英文刊名</t>
      </text>
    </comment>
    <comment ref="F4" authorId="0" shapeId="0">
      <text>
        <t>必填。本期主题</t>
      </text>
    </comment>
    <comment ref="G4" authorId="0" shapeId="0">
      <text>
        <t>可选。英文主题</t>
      </text>
    </comment>
    <comment ref="H4" authorId="0" shapeId="0">
      <text>
        <t>必填。显示期号</t>
      </text>
    </comment>
    <comment ref="I4" authorId="0" shapeId="0">
      <text>
        <t>必填。媒体立场、读者和文风</t>
      </text>
    </comment>
    <comment ref="J4" authorId="0" shapeId="0">
      <text>
        <t>可选。封面附件文件名</t>
      </text>
    </comment>
    <comment ref="K4" authorId="0" shapeId="0">
      <text>
        <t>可选。整合备注</t>
      </text>
    </comment>
  </commentList>
</comments>
</file>

<file path=xl/comments/comment6.xml><?xml version="1.0" encoding="utf-8"?>
<comments xmlns="http://schemas.openxmlformats.org/spreadsheetml/2006/main">
  <authors>
    <author>New Player Hunter</author>
  </authors>
  <commentList>
    <comment ref="A4" authorId="0" shapeId="0">
      <text>
        <t>必填。所属期刊 ID</t>
      </text>
    </comment>
    <comment ref="B4" authorId="0" shapeId="0">
      <text>
        <t>必填。页码，从 1 连续递增</t>
      </text>
    </comment>
    <comment ref="C4" authorId="0" shapeId="0">
      <text>
        <t>必填。Cover / Feature / ScoutReport</t>
      </text>
    </comment>
    <comment ref="D4" authorId="0" shapeId="0">
      <text>
        <t>必填。栏目眉题</t>
      </text>
    </comment>
    <comment ref="E4" authorId="0" shapeId="0">
      <text>
        <t>可选。英文眉题</t>
      </text>
    </comment>
    <comment ref="F4" authorId="0" shapeId="0">
      <text>
        <t>必填。主标题</t>
      </text>
    </comment>
    <comment ref="G4" authorId="0" shapeId="0">
      <text>
        <t>可选。英文主标题</t>
      </text>
    </comment>
    <comment ref="H4" authorId="0" shapeId="0">
      <text>
        <t>必填。副标题或摘要</t>
      </text>
    </comment>
    <comment ref="I4" authorId="0" shapeId="0">
      <text>
        <t>可选。英文副标题</t>
      </text>
    </comment>
    <comment ref="J4" authorId="0" shapeId="0">
      <text>
        <t>必填。左栏正文</t>
      </text>
    </comment>
    <comment ref="K4" authorId="0" shapeId="0">
      <text>
        <t>可选。英文左栏</t>
      </text>
    </comment>
    <comment ref="L4" authorId="0" shapeId="0">
      <text>
        <t>必填。右栏正文</t>
      </text>
    </comment>
    <comment ref="M4" authorId="0" shapeId="0">
      <text>
        <t>可选。英文右栏</t>
      </text>
    </comment>
    <comment ref="N4" authorId="0" shapeId="0">
      <text>
        <t>必填。醒目引语</t>
      </text>
    </comment>
    <comment ref="O4" authorId="0" shapeId="0">
      <text>
        <t>可选。英文引语</t>
      </text>
    </comment>
    <comment ref="P4" authorId="0" shapeId="0">
      <text>
        <t>必填。侧栏标题</t>
      </text>
    </comment>
    <comment ref="Q4" authorId="0" shapeId="0">
      <text>
        <t>可选。英文侧栏标题</t>
      </text>
    </comment>
    <comment ref="R4" authorId="0" shapeId="0">
      <text>
        <t>必填。侧栏正文或来源说明</t>
      </text>
    </comment>
    <comment ref="S4" authorId="0" shapeId="0">
      <text>
        <t>可选。英文侧栏正文</t>
      </text>
    </comment>
    <comment ref="T4" authorId="0" shapeId="0">
      <text>
        <t>可选。关联球员 ID；只提供线索，不解锁</t>
      </text>
    </comment>
    <comment ref="U4" authorId="0" shapeId="0">
      <text>
        <t>可选。图片构图、风格、禁止元素</t>
      </text>
    </comment>
    <comment ref="V4" authorId="0" shapeId="0">
      <text>
        <t>可选。页面附件文件名</t>
      </text>
    </comment>
    <comment ref="W4" authorId="0" shapeId="0">
      <text>
        <t>可选。整合备注</t>
      </text>
    </comment>
  </commentList>
</comments>
</file>

<file path=xl/comments/comment7.xml><?xml version="1.0" encoding="utf-8"?>
<comments xmlns="http://schemas.openxmlformats.org/spreadsheetml/2006/main">
  <authors>
    <author>New Player Hunter</author>
  </authors>
  <commentList>
    <comment ref="A4" authorId="0" shapeId="0">
      <text>
        <t>必填。稳定附件 ID</t>
      </text>
    </comment>
    <comment ref="B4" authorId="0" shapeId="0">
      <text>
        <t>必填。提交状态</t>
      </text>
    </comment>
    <comment ref="C4" authorId="0" shapeId="0">
      <text>
        <t>必填。Player / MagazineIssue / MagazinePage / Other</t>
      </text>
    </comment>
    <comment ref="D4" authorId="0" shapeId="0">
      <text>
        <t>必填。对应球员、期刊或页面所属 ID</t>
      </text>
    </comment>
    <comment ref="E4" authorId="0" shapeId="0">
      <text>
        <t>必填。Portrait / Cover / Illustration / Icon</t>
      </text>
    </comment>
    <comment ref="F4" authorId="0" shapeId="0">
      <text>
        <t>必填。提交文件夹中的精确文件名</t>
      </text>
    </comment>
    <comment ref="G4" authorId="0" shapeId="0">
      <text>
        <t>必填。PNG / JPG / PSD / Other</t>
      </text>
    </comment>
    <comment ref="H4" authorId="0" shapeId="0">
      <text>
        <t>必填。像素尺寸，例如 1024x1024</t>
      </text>
    </comment>
    <comment ref="I4" authorId="0" shapeId="0">
      <text>
        <t>必填。创作者或合法来源</t>
      </text>
    </comment>
    <comment ref="J4" authorId="0" shapeId="0">
      <text>
        <t>必填。TRUE 表示已确认可用于作品集</t>
      </text>
    </comment>
    <comment ref="K4" authorId="0" shapeId="0">
      <text>
        <t>可选。风格、裁切、透明背景等备注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95" customWidth="1" min="2" max="2"/>
  </cols>
  <sheetData>
    <row r="1" ht="28" customHeight="1">
      <c r="A1" s="1" t="inlineStr">
        <is>
          <t>New Player Hunter 内容人工提交模板</t>
        </is>
      </c>
    </row>
    <row r="2" ht="34" customHeight="1">
      <c r="A2" s="2" t="inlineStr">
        <is>
          <t>中文必填，英文可暂时留空。不要修改工作表名、列名、列顺序和枚举拼写。</t>
        </is>
      </c>
    </row>
    <row r="4" ht="34" customHeight="1">
      <c r="A4" s="3" t="inlineStr">
        <is>
          <t>提交文件名</t>
        </is>
      </c>
      <c r="B4" s="4" t="inlineStr">
        <is>
          <t>NewPlayerHunter_Content_Batch_&lt;批次名&gt;_&lt;YYYYMMDD&gt;.xlsx</t>
        </is>
      </c>
    </row>
    <row r="5" ht="34" customHeight="1">
      <c r="A5" s="3" t="inlineStr">
        <is>
          <t>填写起始行</t>
        </is>
      </c>
      <c r="B5" s="4" t="inlineStr">
        <is>
          <t>每张内容表第 5 行是示例；从第 6 行开始填写正式内容。</t>
        </is>
      </c>
    </row>
    <row r="6" ht="34" customHeight="1">
      <c r="A6" s="3" t="inlineStr">
        <is>
          <t>提交状态</t>
        </is>
      </c>
      <c r="B6" s="4" t="inlineStr">
        <is>
          <t>Draft=草稿，Ready=可整合，Approved=已审核。开发只处理 Ready/Approved。</t>
        </is>
      </c>
    </row>
    <row r="7" ht="34" customHeight="1">
      <c r="A7" s="3" t="inlineStr">
        <is>
          <t>语言</t>
        </is>
      </c>
      <c r="B7" s="4" t="inlineStr">
        <is>
          <t>所有 *_zh 中文栏必填；*_en 英文栏可以留空，后续统一翻译。</t>
        </is>
      </c>
    </row>
    <row r="8" ht="34" customHeight="1">
      <c r="A8" s="3" t="inlineStr">
        <is>
          <t>稳定 ID</t>
        </is>
      </c>
      <c r="B8" s="4" t="inlineStr">
        <is>
          <t>小写英文、数字和点号；进入游戏后不得改名。显示名称可以修改。</t>
        </is>
      </c>
    </row>
    <row r="9" ht="34" customHeight="1">
      <c r="A9" s="3" t="inlineStr">
        <is>
          <t>引用</t>
        </is>
      </c>
      <c r="B9" s="4" t="inlineStr">
        <is>
          <t>related_player_id、related_demand_id、demand_id、issue_id 必须引用其他表已有 ID。</t>
        </is>
      </c>
    </row>
    <row r="10" ht="34" customHeight="1">
      <c r="A10" s="3" t="inlineStr">
        <is>
          <t>排序</t>
        </is>
      </c>
      <c r="B10" s="4" t="inlineStr">
        <is>
          <t>球员按第一封关联球员邮件的 published_week + delivery_order_in_week 从上到下显示。</t>
        </is>
      </c>
    </row>
    <row r="11" ht="34" customHeight="1">
      <c r="A11" s="3" t="inlineStr">
        <is>
          <t>隐藏数据</t>
        </is>
      </c>
      <c r="B11" s="4" t="inlineStr">
        <is>
          <t>hidden_* 和招聘门槛只供规则结算，严禁复制到公开邮件、期刊或 UI 文本。</t>
        </is>
      </c>
    </row>
    <row r="12" ht="34" customHeight="1">
      <c r="A12" s="3" t="inlineStr">
        <is>
          <t>附件</t>
        </is>
      </c>
      <c r="B12" s="4" t="inlineStr">
        <is>
          <t>头像和期刊图片放在同名附件文件夹，并在“附件 Assets”表登记。</t>
        </is>
      </c>
    </row>
    <row r="13" ht="34" customHeight="1">
      <c r="A13" s="3" t="inlineStr">
        <is>
          <t>交回内容</t>
        </is>
      </c>
      <c r="B13" s="4" t="inlineStr">
        <is>
          <t>原始 Excel + 附件文件夹一起交回，不要自行修改 Unity 资产。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22" customWidth="1" min="4" max="4"/>
    <col width="42" customWidth="1" min="5" max="5"/>
    <col width="42" customWidth="1" min="6" max="6"/>
    <col width="16" customWidth="1" min="7" max="7"/>
    <col width="16" customWidth="1" min="8" max="8"/>
    <col width="16" customWidth="1" min="9" max="9"/>
    <col width="16" customWidth="1" min="10" max="10"/>
    <col width="42" customWidth="1" min="11" max="11"/>
    <col width="42" customWidth="1" min="12" max="12"/>
    <col width="42" customWidth="1" min="13" max="13"/>
    <col width="42" customWidth="1" min="14" max="14"/>
    <col width="16" customWidth="1" min="15" max="15"/>
    <col width="36" customWidth="1" min="16" max="16"/>
    <col width="42" customWidth="1" min="17" max="17"/>
    <col width="28" customWidth="1" min="18" max="18"/>
    <col width="32" customWidth="1" min="19" max="19"/>
  </cols>
  <sheetData>
    <row r="1" ht="28" customHeight="1">
      <c r="A1" s="1" t="inlineStr">
        <is>
          <t>球员 Players</t>
        </is>
      </c>
    </row>
    <row r="2" ht="34" customHeight="1">
      <c r="A2" s="2" t="inlineStr">
        <is>
          <t>同一位置允许有多名球员；球员卡不是固定位置槽。隐藏字段严禁出现在公开文本。</t>
        </is>
      </c>
    </row>
    <row r="3"/>
    <row r="4" ht="38" customHeight="1">
      <c r="A4" s="5" t="inlineStr">
        <is>
          <t>player_id</t>
        </is>
      </c>
      <c r="B4" s="5" t="inlineStr">
        <is>
          <t>submit_status</t>
        </is>
      </c>
      <c r="C4" s="5" t="inlineStr">
        <is>
          <t>display_name_zh</t>
        </is>
      </c>
      <c r="D4" s="5" t="inlineStr">
        <is>
          <t>display_name_en</t>
        </is>
      </c>
      <c r="E4" s="5" t="inlineStr">
        <is>
          <t>biography_zh</t>
        </is>
      </c>
      <c r="F4" s="5" t="inlineStr">
        <is>
          <t>biography_en</t>
        </is>
      </c>
      <c r="G4" s="5" t="inlineStr">
        <is>
          <t>public_position</t>
        </is>
      </c>
      <c r="H4" s="5" t="inlineStr">
        <is>
          <t>hidden_ability</t>
        </is>
      </c>
      <c r="I4" s="5" t="inlineStr">
        <is>
          <t>hidden_fitness</t>
        </is>
      </c>
      <c r="J4" s="5" t="inlineStr">
        <is>
          <t>hidden_professionalism</t>
        </is>
      </c>
      <c r="K4" s="5" t="inlineStr">
        <is>
          <t>salary_min_weekly</t>
        </is>
      </c>
      <c r="L4" s="5" t="inlineStr">
        <is>
          <t>salary_max_weekly</t>
        </is>
      </c>
      <c r="M4" s="5" t="inlineStr">
        <is>
          <t>career_history_zh</t>
        </is>
      </c>
      <c r="N4" s="5" t="inlineStr">
        <is>
          <t>career_history_en</t>
        </is>
      </c>
      <c r="O4" s="5" t="inlineStr">
        <is>
          <t>public_claim_zh</t>
        </is>
      </c>
      <c r="P4" s="5" t="inlineStr">
        <is>
          <t>public_claim_en</t>
        </is>
      </c>
      <c r="Q4" s="5" t="inlineStr">
        <is>
          <t>public_evidence_zh</t>
        </is>
      </c>
      <c r="R4" s="5" t="inlineStr">
        <is>
          <t>public_evidence_en</t>
        </is>
      </c>
      <c r="S4" s="5" t="inlineStr">
        <is>
          <t>evidence_reliability</t>
        </is>
      </c>
      <c r="T4" s="5" t="inlineStr">
        <is>
          <t>inspiration_notes_private</t>
        </is>
      </c>
      <c r="U4" s="5" t="inlineStr">
        <is>
          <t>portrait_brief</t>
        </is>
      </c>
      <c r="V4" s="5" t="inlineStr">
        <is>
          <t>asset_filename</t>
        </is>
      </c>
      <c r="W4" s="5" t="inlineStr">
        <is>
          <t>integrator_notes</t>
        </is>
      </c>
    </row>
    <row r="5" ht="72" customHeight="1">
      <c r="A5" s="6" t="inlineStr">
        <is>
          <t>player.sample.sprinter</t>
        </is>
      </c>
      <c r="B5" s="6" t="inlineStr">
        <is>
          <t>Draft</t>
        </is>
      </c>
      <c r="C5" s="6" t="inlineStr">
        <is>
          <t>示例快马</t>
        </is>
      </c>
      <c r="D5" s="6" t="inlineStr"/>
      <c r="E5" s="6" t="inlineStr">
        <is>
          <t>一名把每次顺风冲刺都写进简历的前锋。</t>
        </is>
      </c>
      <c r="F5" s="6" t="inlineStr"/>
      <c r="G5" s="6" t="inlineStr">
        <is>
          <t>Forward</t>
        </is>
      </c>
      <c r="H5" s="6" t="n">
        <v>72</v>
      </c>
      <c r="I5" s="6" t="n">
        <v>84</v>
      </c>
      <c r="J5" s="6" t="n">
        <v>61</v>
      </c>
      <c r="O5" s="6" t="inlineStr">
        <is>
          <t>经纪人声称他能追上自己昨天的传球。</t>
        </is>
      </c>
      <c r="P5" s="6" t="inlineStr"/>
      <c r="Q5" s="6" t="inlineStr">
        <is>
          <t>两场录像确认速度不错，但触球稳定性存疑。</t>
        </is>
      </c>
      <c r="R5" s="6" t="inlineStr"/>
      <c r="S5" s="6" t="inlineStr">
        <is>
          <t>Medium</t>
        </is>
      </c>
      <c r="T5" s="6" t="inlineStr"/>
      <c r="U5" s="6" t="inlineStr"/>
      <c r="V5" s="6" t="inlineStr"/>
      <c r="W5" s="6" t="inlineStr">
        <is>
          <t>示例行，请勿直接提交。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</row>
  </sheetData>
  <autoFilter ref="A4:S205"/>
  <mergeCells count="2">
    <mergeCell ref="A2:S2"/>
    <mergeCell ref="A1:S1"/>
  </mergeCells>
  <conditionalFormatting sqref="B6:B205">
    <cfRule type="expression" priority="1" dxfId="0">
      <formula>B6="Ready"</formula>
    </cfRule>
  </conditionalFormatting>
  <dataValidations count="6">
    <dataValidation sqref="B6:B205" showDropDown="0" showInputMessage="1" showErrorMessage="1" allowBlank="1" errorTitle="字段格式错误" error="请使用模板允许的值。" promptTitle="submit_status" prompt="请按列标题批注和下拉列表填写。" type="list">
      <formula1>"Draft,Ready,Approved"</formula1>
    </dataValidation>
    <dataValidation sqref="G6:G205" showDropDown="0" showInputMessage="1" showErrorMessage="1" allowBlank="1" errorTitle="字段格式错误" error="请使用模板允许的值。" promptTitle="public_position" prompt="请按列标题批注和下拉列表填写。" type="list">
      <formula1>"Goalkeeper,Defender,WingBack,Midfielder,Winger,Forward"</formula1>
    </dataValidation>
    <dataValidation sqref="O6:O205" showDropDown="0" showInputMessage="1" showErrorMessage="1" allowBlank="1" errorTitle="字段格式错误" error="请使用模板允许的值。" promptTitle="evidence_reliability" prompt="请按列标题批注和下拉列表填写。" type="list">
      <formula1>"Unverified,Low,Medium,High"</formula1>
    </dataValidation>
    <dataValidation sqref="H6:H205" showDropDown="0" showInputMessage="1" showErrorMessage="1" allowBlank="1" errorTitle="字段格式错误" error="请使用模板允许的值。" promptTitle="hidden_ability" prompt="请按列标题批注和下拉列表填写。" type="whole" operator="between">
      <formula1>0</formula1>
      <formula2>100</formula2>
    </dataValidation>
    <dataValidation sqref="I6:I205" showDropDown="0" showInputMessage="1" showErrorMessage="1" allowBlank="1" errorTitle="字段格式错误" error="请使用模板允许的值。" promptTitle="hidden_fitness" prompt="请按列标题批注和下拉列表填写。" type="whole" operator="between">
      <formula1>0</formula1>
      <formula2>100</formula2>
    </dataValidation>
    <dataValidation sqref="J6:J205" showDropDown="0" showInputMessage="1" showErrorMessage="1" allowBlank="1" errorTitle="字段格式错误" error="请使用模板允许的值。" promptTitle="hidden_professionalism" prompt="请按列标题批注和下拉列表填写。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22" customWidth="1" min="3" max="3"/>
    <col width="28" customWidth="1" min="4" max="4"/>
    <col width="30" customWidth="1" min="5" max="5"/>
    <col width="50" customWidth="1" min="6" max="6"/>
    <col width="50" customWidth="1" min="7" max="7"/>
    <col width="16" customWidth="1" min="8" max="8"/>
    <col width="16" customWidth="1" min="9" max="9"/>
    <col width="16" customWidth="1" min="10" max="10"/>
    <col width="44" customWidth="1" min="11" max="11"/>
    <col width="44" customWidth="1" min="12" max="12"/>
    <col width="38" customWidth="1" min="13" max="13"/>
    <col width="32" customWidth="1" min="14" max="14"/>
  </cols>
  <sheetData>
    <row r="1" ht="28" customHeight="1">
      <c r="A1" s="1" t="inlineStr">
        <is>
          <t>招聘 Demands</t>
        </is>
      </c>
    </row>
    <row r="2" ht="34" customHeight="1">
      <c r="A2" s="2" t="inlineStr">
        <is>
          <t>招聘主体一行；具体名额必须在“招聘槽位 DemandSlots”另填。每条招聘必须有关联 ClubRequest 邮件。</t>
        </is>
      </c>
    </row>
    <row r="4" ht="38" customHeight="1">
      <c r="A4" s="5" t="inlineStr">
        <is>
          <t>demand_id</t>
        </is>
      </c>
      <c r="B4" s="5" t="inlineStr">
        <is>
          <t>submit_status</t>
        </is>
      </c>
      <c r="C4" s="5" t="inlineStr">
        <is>
          <t>club_id</t>
        </is>
      </c>
      <c r="D4" s="5" t="inlineStr">
        <is>
          <t>title_zh</t>
        </is>
      </c>
      <c r="E4" s="5" t="inlineStr">
        <is>
          <t>title_en</t>
        </is>
      </c>
      <c r="F4" s="5" t="inlineStr">
        <is>
          <t>description_zh</t>
        </is>
      </c>
      <c r="G4" s="5" t="inlineStr">
        <is>
          <t>description_en</t>
        </is>
      </c>
      <c r="H4" s="5" t="inlineStr">
        <is>
          <t>opened_week</t>
        </is>
      </c>
      <c r="I4" s="5" t="inlineStr">
        <is>
          <t>deadline_week</t>
        </is>
      </c>
      <c r="J4" s="5" t="inlineStr">
        <is>
          <t>base_reward</t>
        </is>
      </c>
      <c r="K4" s="5" t="inlineStr">
        <is>
          <t>payment_terms_zh</t>
        </is>
      </c>
      <c r="L4" s="5" t="inlineStr">
        <is>
          <t>payment_terms_en</t>
        </is>
      </c>
      <c r="M4" s="5" t="inlineStr">
        <is>
          <t>narrative_notes</t>
        </is>
      </c>
      <c r="N4" s="5" t="inlineStr">
        <is>
          <t>integrator_notes</t>
        </is>
      </c>
    </row>
    <row r="5" ht="72" customHeight="1">
      <c r="A5" s="6" t="inlineStr">
        <is>
          <t>demand.week2.sample</t>
        </is>
      </c>
      <c r="B5" s="6" t="inlineStr">
        <is>
          <t>Draft</t>
        </is>
      </c>
      <c r="C5" s="6" t="inlineStr">
        <is>
          <t>club.sample</t>
        </is>
      </c>
      <c r="D5" s="6" t="inlineStr">
        <is>
          <t>示例俱乐部：寻找前锋</t>
        </is>
      </c>
      <c r="E5" s="6" t="inlineStr"/>
      <c r="F5" s="6" t="inlineStr">
        <is>
          <t>主力前锋参加婚礼巡演，本周需要一名能完成跑动任务的替补。</t>
        </is>
      </c>
      <c r="G5" s="6" t="inlineStr"/>
      <c r="H5" s="6" t="n">
        <v>2</v>
      </c>
      <c r="I5" s="6" t="n">
        <v>2</v>
      </c>
      <c r="J5" s="6" t="n">
        <v>1200</v>
      </c>
      <c r="K5" s="6" t="inlineStr">
        <is>
          <t>提交后 1–2 周反馈，成功安排后付款。</t>
        </is>
      </c>
      <c r="L5" s="6" t="inlineStr"/>
      <c r="M5" s="6" t="inlineStr"/>
      <c r="N5" s="6" t="inlineStr">
        <is>
          <t>示例行。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</row>
  </sheetData>
  <autoFilter ref="A4:N205"/>
  <mergeCells count="2">
    <mergeCell ref="A2:N2"/>
    <mergeCell ref="A1:N1"/>
  </mergeCells>
  <conditionalFormatting sqref="B6:B205">
    <cfRule type="expression" priority="1" dxfId="0">
      <formula>B6="Ready"</formula>
    </cfRule>
  </conditionalFormatting>
  <dataValidations count="4">
    <dataValidation sqref="B6:B205" showDropDown="0" showInputMessage="1" showErrorMessage="1" allowBlank="1" errorTitle="字段格式错误" error="请使用模板允许的值。" promptTitle="submit_status" prompt="请按列标题批注和下拉列表填写。" type="list">
      <formula1>"Draft,Ready,Approved"</formula1>
    </dataValidation>
    <dataValidation sqref="H6:H205" showDropDown="0" showInputMessage="1" showErrorMessage="1" allowBlank="1" errorTitle="字段格式错误" error="请使用模板允许的值。" promptTitle="opened_week" prompt="请按列标题批注和下拉列表填写。" type="whole" operator="between">
      <formula1>1</formula1>
      <formula2>99</formula2>
    </dataValidation>
    <dataValidation sqref="I6:I205" showDropDown="0" showInputMessage="1" showErrorMessage="1" allowBlank="1" errorTitle="字段格式错误" error="请使用模板允许的值。" promptTitle="deadline_week" prompt="请按列标题批注和下拉列表填写。" type="whole" operator="between">
      <formula1>1</formula1>
      <formula2>99</formula2>
    </dataValidation>
    <dataValidation sqref="J6:J205" showDropDown="0" showInputMessage="1" showErrorMessage="1" allowBlank="1" errorTitle="字段格式错误" error="请使用模板允许的值。" promptTitle="base_reward" prompt="请按列标题批注和下拉列表填写。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2" customWidth="1" min="9" max="9"/>
  </cols>
  <sheetData>
    <row r="1" ht="28" customHeight="1">
      <c r="A1" s="1" t="inlineStr">
        <is>
          <t>招聘槽位 DemandSlots</t>
        </is>
      </c>
    </row>
    <row r="2" ht="34" customHeight="1">
      <c r="A2" s="2" t="inlineStr">
        <is>
          <t>每个名额一行；同一招聘可有多个相同位置槽位。隐藏门槛不得写入公开邮件。</t>
        </is>
      </c>
    </row>
    <row r="4" ht="38" customHeight="1">
      <c r="A4" s="5" t="inlineStr">
        <is>
          <t>slot_id</t>
        </is>
      </c>
      <c r="B4" s="5" t="inlineStr">
        <is>
          <t>demand_id</t>
        </is>
      </c>
      <c r="C4" s="5" t="inlineStr">
        <is>
          <t>slot_order</t>
        </is>
      </c>
      <c r="D4" s="5" t="inlineStr">
        <is>
          <t>required_position</t>
        </is>
      </c>
      <c r="E4" s="5" t="inlineStr">
        <is>
          <t>minimum_ability</t>
        </is>
      </c>
      <c r="F4" s="5" t="inlineStr">
        <is>
          <t>preferred_fitness</t>
        </is>
      </c>
      <c r="G4" s="5" t="inlineStr">
        <is>
          <t>preferred_professionalism</t>
        </is>
      </c>
      <c r="H4" s="5" t="inlineStr">
        <is>
          <t>is_required</t>
        </is>
      </c>
      <c r="I4" s="5" t="inlineStr">
        <is>
          <t>integrator_notes</t>
        </is>
      </c>
    </row>
    <row r="5" ht="72" customHeight="1">
      <c r="A5" s="6" t="inlineStr">
        <is>
          <t>slot.week2.sample.forward</t>
        </is>
      </c>
      <c r="B5" s="6" t="inlineStr">
        <is>
          <t>demand.week2.sample</t>
        </is>
      </c>
      <c r="C5" s="6" t="n">
        <v>1</v>
      </c>
      <c r="D5" s="6" t="inlineStr">
        <is>
          <t>Forward</t>
        </is>
      </c>
      <c r="E5" s="6" t="n">
        <v>70</v>
      </c>
      <c r="F5" s="6" t="n">
        <v>65</v>
      </c>
      <c r="G5" s="6" t="n">
        <v>55</v>
      </c>
      <c r="H5" s="6" t="inlineStr">
        <is>
          <t>TRUE</t>
        </is>
      </c>
      <c r="I5" s="6" t="inlineStr">
        <is>
          <t>示例行。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</row>
  </sheetData>
  <autoFilter ref="A4:I205"/>
  <mergeCells count="2">
    <mergeCell ref="A1:I1"/>
    <mergeCell ref="A2:I2"/>
  </mergeCells>
  <dataValidations count="6">
    <dataValidation sqref="C6:C205" showDropDown="0" showInputMessage="1" showErrorMessage="1" allowBlank="1" errorTitle="字段格式错误" error="请使用模板允许的值。" promptTitle="slot_order" prompt="请按列标题批注和下拉列表填写。" type="whole" operator="between">
      <formula1>1</formula1>
      <formula2>99</formula2>
    </dataValidation>
    <dataValidation sqref="D6:D205" showDropDown="0" showInputMessage="1" showErrorMessage="1" allowBlank="1" errorTitle="字段格式错误" error="请使用模板允许的值。" promptTitle="required_position" prompt="请按列标题批注和下拉列表填写。" type="list">
      <formula1>"Goalkeeper,Defender,WingBack,Midfielder,Winger,Forward"</formula1>
    </dataValidation>
    <dataValidation sqref="E6:E205" showDropDown="0" showInputMessage="1" showErrorMessage="1" allowBlank="1" errorTitle="字段格式错误" error="请使用模板允许的值。" promptTitle="minimum_ability" prompt="请按列标题批注和下拉列表填写。" type="whole" operator="between">
      <formula1>0</formula1>
      <formula2>100</formula2>
    </dataValidation>
    <dataValidation sqref="F6:F205" showDropDown="0" showInputMessage="1" showErrorMessage="1" allowBlank="1" errorTitle="字段格式错误" error="请使用模板允许的值。" promptTitle="preferred_fitness" prompt="请按列标题批注和下拉列表填写。" type="whole" operator="between">
      <formula1>0</formula1>
      <formula2>100</formula2>
    </dataValidation>
    <dataValidation sqref="G6:G205" showDropDown="0" showInputMessage="1" showErrorMessage="1" allowBlank="1" errorTitle="字段格式错误" error="请使用模板允许的值。" promptTitle="preferred_professionalism" prompt="请按列标题批注和下拉列表填写。" type="whole" operator="between">
      <formula1>0</formula1>
      <formula2>100</formula2>
    </dataValidation>
    <dataValidation sqref="H6:H205" showDropDown="0" showInputMessage="1" showErrorMessage="1" allowBlank="1" errorTitle="字段格式错误" error="请使用模板允许的值。" promptTitle="is_required" prompt="请按列标题批注和下拉列表填写。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8" customWidth="1" min="7" max="7"/>
    <col width="24" customWidth="1" min="8" max="8"/>
    <col width="28" customWidth="1" min="9" max="9"/>
    <col width="36" customWidth="1" min="10" max="10"/>
    <col width="38" customWidth="1" min="11" max="11"/>
    <col width="42" customWidth="1" min="12" max="12"/>
    <col width="42" customWidth="1" min="13" max="13"/>
    <col width="60" customWidth="1" min="14" max="14"/>
    <col width="60" customWidth="1" min="15" max="15"/>
    <col width="40" customWidth="1" min="16" max="16"/>
    <col width="40" customWidth="1" min="17" max="17"/>
    <col width="25" customWidth="1" min="18" max="18"/>
    <col width="25" customWidth="1" min="19" max="19"/>
    <col width="32" customWidth="1" min="20" max="20"/>
  </cols>
  <sheetData>
    <row r="1" ht="28" customHeight="1">
      <c r="A1" s="1" t="inlineStr">
        <is>
          <t>邮件 Mails</t>
        </is>
      </c>
    </row>
    <row r="2" ht="34" customHeight="1">
      <c r="A2" s="2" t="inlineStr">
        <is>
          <t>玩家实际打开关联邮件后才解锁球员或招聘。球员列表顺序取第一封关联邮件的周次与周内顺序。</t>
        </is>
      </c>
    </row>
    <row r="4" ht="38" customHeight="1">
      <c r="A4" s="5" t="inlineStr">
        <is>
          <t>mail_id</t>
        </is>
      </c>
      <c r="B4" s="5" t="inlineStr">
        <is>
          <t>submit_status</t>
        </is>
      </c>
      <c r="C4" s="5" t="inlineStr">
        <is>
          <t>kind</t>
        </is>
      </c>
      <c r="D4" s="5" t="inlineStr">
        <is>
          <t>published_week</t>
        </is>
      </c>
      <c r="E4" s="5" t="inlineStr">
        <is>
          <t>delivery_order_in_week</t>
        </is>
      </c>
      <c r="F4" s="5" t="inlineStr">
        <is>
          <t>received_time_zh</t>
        </is>
      </c>
      <c r="G4" s="5" t="inlineStr">
        <is>
          <t>received_time_en</t>
        </is>
      </c>
      <c r="H4" s="5" t="inlineStr">
        <is>
          <t>sender_zh</t>
        </is>
      </c>
      <c r="I4" s="5" t="inlineStr">
        <is>
          <t>sender_en</t>
        </is>
      </c>
      <c r="J4" s="5" t="inlineStr">
        <is>
          <t>subject_zh</t>
        </is>
      </c>
      <c r="K4" s="5" t="inlineStr">
        <is>
          <t>subject_en</t>
        </is>
      </c>
      <c r="L4" s="5" t="inlineStr">
        <is>
          <t>preview_zh</t>
        </is>
      </c>
      <c r="M4" s="5" t="inlineStr">
        <is>
          <t>preview_en</t>
        </is>
      </c>
      <c r="N4" s="5" t="inlineStr">
        <is>
          <t>body_zh</t>
        </is>
      </c>
      <c r="O4" s="5" t="inlineStr">
        <is>
          <t>body_en</t>
        </is>
      </c>
      <c r="P4" s="5" t="inlineStr">
        <is>
          <t>source_note_zh</t>
        </is>
      </c>
      <c r="Q4" s="5" t="inlineStr">
        <is>
          <t>source_note_en</t>
        </is>
      </c>
      <c r="R4" s="5" t="inlineStr">
        <is>
          <t>related_player_id</t>
        </is>
      </c>
      <c r="S4" s="5" t="inlineStr">
        <is>
          <t>related_demand_id</t>
        </is>
      </c>
      <c r="T4" s="5" t="inlineStr">
        <is>
          <t>integrator_notes</t>
        </is>
      </c>
    </row>
    <row r="5" ht="72" customHeight="1">
      <c r="A5" s="6" t="inlineStr">
        <is>
          <t>mail.w2.sample</t>
        </is>
      </c>
      <c r="B5" s="6" t="inlineStr">
        <is>
          <t>Draft</t>
        </is>
      </c>
      <c r="C5" s="6" t="inlineStr">
        <is>
          <t>PlayerResume</t>
        </is>
      </c>
      <c r="D5" s="6" t="n">
        <v>2</v>
      </c>
      <c r="E5" s="6" t="n">
        <v>2</v>
      </c>
      <c r="F5" s="6" t="inlineStr">
        <is>
          <t>周一 09:05</t>
        </is>
      </c>
      <c r="G5" s="6" t="inlineStr"/>
      <c r="H5" s="6" t="inlineStr">
        <is>
          <t>示例经纪公司</t>
        </is>
      </c>
      <c r="I5" s="6" t="inlineStr"/>
      <c r="J5" s="6" t="inlineStr">
        <is>
          <t>球员简历：示例快马</t>
        </is>
      </c>
      <c r="K5" s="6" t="inlineStr"/>
      <c r="L5" s="6" t="inlineStr">
        <is>
          <t>前锋候选人，速度值得进一步核实。</t>
        </is>
      </c>
      <c r="M5" s="6" t="inlineStr"/>
      <c r="N5" s="6" t="inlineStr">
        <is>
          <t>示例快马正在寻找试训机会。经纪人强调他的启动速度，并回避了逆风比赛的数据。</t>
        </is>
      </c>
      <c r="O5" s="6" t="inlineStr"/>
      <c r="P5" s="6" t="inlineStr">
        <is>
          <t>经纪人推荐 · 宣传倾向明显</t>
        </is>
      </c>
      <c r="Q5" s="6" t="inlineStr"/>
      <c r="R5" s="6" t="inlineStr">
        <is>
          <t>player.sample.sprinter</t>
        </is>
      </c>
      <c r="S5" s="6" t="inlineStr"/>
      <c r="T5" s="6" t="inlineStr">
        <is>
          <t>示例行。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</row>
  </sheetData>
  <autoFilter ref="A4:T205"/>
  <mergeCells count="2">
    <mergeCell ref="A1:T1"/>
    <mergeCell ref="A2:T2"/>
  </mergeCells>
  <conditionalFormatting sqref="B6:B205">
    <cfRule type="expression" priority="1" dxfId="0">
      <formula>B6="Ready"</formula>
    </cfRule>
  </conditionalFormatting>
  <dataValidations count="4">
    <dataValidation sqref="B6:B205" showDropDown="0" showInputMessage="1" showErrorMessage="1" allowBlank="1" errorTitle="字段格式错误" error="请使用模板允许的值。" promptTitle="submit_status" prompt="请按列标题批注和下拉列表填写。" type="list">
      <formula1>"Draft,Ready,Approved"</formula1>
    </dataValidation>
    <dataValidation sqref="C6:C205" showDropDown="0" showInputMessage="1" showErrorMessage="1" allowBlank="1" errorTitle="字段格式错误" error="请使用模板允许的值。" promptTitle="kind" prompt="请按列标题批注和下拉列表填写。" type="list">
      <formula1>"ClubRequest,PlayerResume,PrivateRequest,General"</formula1>
    </dataValidation>
    <dataValidation sqref="D6:D205" showDropDown="0" showInputMessage="1" showErrorMessage="1" allowBlank="1" errorTitle="字段格式错误" error="请使用模板允许的值。" promptTitle="published_week" prompt="请按列标题批注和下拉列表填写。" type="whole" operator="between">
      <formula1>1</formula1>
      <formula2>99</formula2>
    </dataValidation>
    <dataValidation sqref="E6:E205" showDropDown="0" showInputMessage="1" showErrorMessage="1" allowBlank="1" errorTitle="字段格式错误" error="请使用模板允许的值。" promptTitle="delivery_order_in_week" prompt="请按列标题批注和下拉列表填写。" type="whole" operator="between">
      <formula1>1</formula1>
      <formula2>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24" customWidth="1" min="4" max="4"/>
    <col width="28" customWidth="1" min="5" max="5"/>
    <col width="36" customWidth="1" min="6" max="6"/>
    <col width="40" customWidth="1" min="7" max="7"/>
    <col width="16" customWidth="1" min="8" max="8"/>
    <col width="48" customWidth="1" min="9" max="9"/>
    <col width="30" customWidth="1" min="10" max="10"/>
    <col width="32" customWidth="1" min="11" max="11"/>
  </cols>
  <sheetData>
    <row r="1" ht="28" customHeight="1">
      <c r="A1" s="1" t="inlineStr">
        <is>
          <t>期刊 Issues</t>
        </is>
      </c>
    </row>
    <row r="2" ht="34" customHeight="1">
      <c r="A2" s="2" t="inlineStr">
        <is>
          <t>每期一行；具体页面在“期刊页面 MagazinePages”填写。每期至少 3 页且第一页必须为 Cover。</t>
        </is>
      </c>
    </row>
    <row r="4" ht="38" customHeight="1">
      <c r="A4" s="5" t="inlineStr">
        <is>
          <t>issue_id</t>
        </is>
      </c>
      <c r="B4" s="5" t="inlineStr">
        <is>
          <t>submit_status</t>
        </is>
      </c>
      <c r="C4" s="5" t="inlineStr">
        <is>
          <t>published_week</t>
        </is>
      </c>
      <c r="D4" s="5" t="inlineStr">
        <is>
          <t>publication_name_zh</t>
        </is>
      </c>
      <c r="E4" s="5" t="inlineStr">
        <is>
          <t>publication_name_en</t>
        </is>
      </c>
      <c r="F4" s="5" t="inlineStr">
        <is>
          <t>issue_title_zh</t>
        </is>
      </c>
      <c r="G4" s="5" t="inlineStr">
        <is>
          <t>issue_title_en</t>
        </is>
      </c>
      <c r="H4" s="5" t="inlineStr">
        <is>
          <t>issue_number</t>
        </is>
      </c>
      <c r="I4" s="5" t="inlineStr">
        <is>
          <t>editorial_tone</t>
        </is>
      </c>
      <c r="J4" s="5" t="inlineStr">
        <is>
          <t>cover_asset_filename</t>
        </is>
      </c>
      <c r="K4" s="5" t="inlineStr">
        <is>
          <t>integrator_notes</t>
        </is>
      </c>
    </row>
    <row r="5" ht="72" customHeight="1">
      <c r="A5" s="6" t="inlineStr">
        <is>
          <t>mag.sample.01</t>
        </is>
      </c>
      <c r="B5" s="6" t="inlineStr">
        <is>
          <t>Draft</t>
        </is>
      </c>
      <c r="C5" s="6" t="n">
        <v>2</v>
      </c>
      <c r="D5" s="6" t="inlineStr">
        <is>
          <t>《示例边线》</t>
        </is>
      </c>
      <c r="E5" s="6" t="inlineStr"/>
      <c r="F5" s="6" t="inlineStr">
        <is>
          <t>速度、风向与夸张数字</t>
        </is>
      </c>
      <c r="G5" s="6" t="inlineStr"/>
      <c r="H5" s="6" t="inlineStr">
        <is>
          <t>第 01 期</t>
        </is>
      </c>
      <c r="I5" s="6" t="inlineStr">
        <is>
          <t>独立球探期刊，幽默但强调来源核查。</t>
        </is>
      </c>
      <c r="J5" s="6" t="inlineStr"/>
      <c r="K5" s="6" t="inlineStr">
        <is>
          <t>示例行。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</sheetData>
  <autoFilter ref="A4:K205"/>
  <mergeCells count="2">
    <mergeCell ref="A2:K2"/>
    <mergeCell ref="A1:K1"/>
  </mergeCells>
  <conditionalFormatting sqref="B6:B205">
    <cfRule type="expression" priority="1" dxfId="0">
      <formula>B6="Ready"</formula>
    </cfRule>
  </conditionalFormatting>
  <dataValidations count="2">
    <dataValidation sqref="B6:B205" showDropDown="0" showInputMessage="1" showErrorMessage="1" allowBlank="1" errorTitle="字段格式错误" error="请使用模板允许的值。" promptTitle="submit_status" prompt="请按列标题批注和下拉列表填写。" type="list">
      <formula1>"Draft,Ready,Approved"</formula1>
    </dataValidation>
    <dataValidation sqref="C6:C205" showDropDown="0" showInputMessage="1" showErrorMessage="1" allowBlank="1" errorTitle="字段格式错误" error="请使用模板允许的值。" promptTitle="published_week" prompt="请按列标题批注和下拉列表填写。" type="whole" operator="between">
      <formula1>1</formula1>
      <formula2>99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24" customWidth="1" min="4" max="4"/>
    <col width="28" customWidth="1" min="5" max="5"/>
    <col width="38" customWidth="1" min="6" max="6"/>
    <col width="42" customWidth="1" min="7" max="7"/>
    <col width="48" customWidth="1" min="8" max="8"/>
    <col width="48" customWidth="1" min="9" max="9"/>
    <col width="60" customWidth="1" min="10" max="10"/>
    <col width="60" customWidth="1" min="11" max="11"/>
    <col width="60" customWidth="1" min="12" max="12"/>
    <col width="60" customWidth="1" min="13" max="13"/>
    <col width="44" customWidth="1" min="14" max="14"/>
    <col width="44" customWidth="1" min="15" max="15"/>
    <col width="28" customWidth="1" min="16" max="16"/>
    <col width="30" customWidth="1" min="17" max="17"/>
    <col width="48" customWidth="1" min="18" max="18"/>
    <col width="48" customWidth="1" min="19" max="19"/>
    <col width="25" customWidth="1" min="20" max="20"/>
    <col width="45" customWidth="1" min="21" max="21"/>
    <col width="30" customWidth="1" min="22" max="22"/>
    <col width="32" customWidth="1" min="23" max="23"/>
  </cols>
  <sheetData>
    <row r="1" ht="28" customHeight="1">
      <c r="A1" s="1" t="inlineStr">
        <is>
          <t>期刊页面 MagazinePages</t>
        </is>
      </c>
    </row>
    <row r="2" ht="34" customHeight="1">
      <c r="A2" s="2" t="inlineStr">
        <is>
          <t>Cover 用短文案；Feature 用完整双栏文章；ScoutReport 左右栏分别写优势与疑问。阅读期刊不解锁球员。</t>
        </is>
      </c>
    </row>
    <row r="4" ht="38" customHeight="1">
      <c r="A4" s="5" t="inlineStr">
        <is>
          <t>issue_id</t>
        </is>
      </c>
      <c r="B4" s="5" t="inlineStr">
        <is>
          <t>page_number</t>
        </is>
      </c>
      <c r="C4" s="5" t="inlineStr">
        <is>
          <t>layout</t>
        </is>
      </c>
      <c r="D4" s="5" t="inlineStr">
        <is>
          <t>kicker_zh</t>
        </is>
      </c>
      <c r="E4" s="5" t="inlineStr">
        <is>
          <t>kicker_en</t>
        </is>
      </c>
      <c r="F4" s="5" t="inlineStr">
        <is>
          <t>headline_zh</t>
        </is>
      </c>
      <c r="G4" s="5" t="inlineStr">
        <is>
          <t>headline_en</t>
        </is>
      </c>
      <c r="H4" s="5" t="inlineStr">
        <is>
          <t>deck_zh</t>
        </is>
      </c>
      <c r="I4" s="5" t="inlineStr">
        <is>
          <t>deck_en</t>
        </is>
      </c>
      <c r="J4" s="5" t="inlineStr">
        <is>
          <t>body_left_zh</t>
        </is>
      </c>
      <c r="K4" s="5" t="inlineStr">
        <is>
          <t>body_left_en</t>
        </is>
      </c>
      <c r="L4" s="5" t="inlineStr">
        <is>
          <t>body_right_zh</t>
        </is>
      </c>
      <c r="M4" s="5" t="inlineStr">
        <is>
          <t>body_right_en</t>
        </is>
      </c>
      <c r="N4" s="5" t="inlineStr">
        <is>
          <t>pull_quote_zh</t>
        </is>
      </c>
      <c r="O4" s="5" t="inlineStr">
        <is>
          <t>pull_quote_en</t>
        </is>
      </c>
      <c r="P4" s="5" t="inlineStr">
        <is>
          <t>sidebar_title_zh</t>
        </is>
      </c>
      <c r="Q4" s="5" t="inlineStr">
        <is>
          <t>sidebar_title_en</t>
        </is>
      </c>
      <c r="R4" s="5" t="inlineStr">
        <is>
          <t>sidebar_body_zh</t>
        </is>
      </c>
      <c r="S4" s="5" t="inlineStr">
        <is>
          <t>sidebar_body_en</t>
        </is>
      </c>
      <c r="T4" s="5" t="inlineStr">
        <is>
          <t>related_player_id</t>
        </is>
      </c>
      <c r="U4" s="5" t="inlineStr">
        <is>
          <t>image_brief</t>
        </is>
      </c>
      <c r="V4" s="5" t="inlineStr">
        <is>
          <t>asset_filename</t>
        </is>
      </c>
      <c r="W4" s="5" t="inlineStr">
        <is>
          <t>integrator_notes</t>
        </is>
      </c>
    </row>
    <row r="5" ht="72" customHeight="1">
      <c r="A5" s="6" t="inlineStr">
        <is>
          <t>mag.sample.01</t>
        </is>
      </c>
      <c r="B5" s="6" t="n">
        <v>1</v>
      </c>
      <c r="C5" s="6" t="inlineStr">
        <is>
          <t>Cover</t>
        </is>
      </c>
      <c r="D5" s="6" t="inlineStr">
        <is>
          <t>本周封面</t>
        </is>
      </c>
      <c r="E5" s="6" t="inlineStr"/>
      <c r="F5" s="6" t="inlineStr">
        <is>
          <t>顺风速度算速度吗？</t>
        </is>
      </c>
      <c r="G5" s="6" t="inlineStr"/>
      <c r="H5" s="6" t="inlineStr">
        <is>
          <t>我们比较经纪人的秒表和两段完整比赛。</t>
        </is>
      </c>
      <c r="I5" s="6" t="inlineStr"/>
      <c r="J5" s="6" t="inlineStr">
        <is>
          <t>本期追踪夸张数据背后的真实线索。</t>
        </is>
      </c>
      <c r="K5" s="6" t="inlineStr"/>
      <c r="L5" s="6" t="inlineStr">
        <is>
          <t>另见：招聘办公室为什么总在周一早晨发急件。</t>
        </is>
      </c>
      <c r="M5" s="6" t="inlineStr"/>
      <c r="N5" s="6" t="inlineStr">
        <is>
          <t>夸张不等于毫无价值。</t>
        </is>
      </c>
      <c r="O5" s="6" t="inlineStr"/>
      <c r="P5" s="6" t="inlineStr">
        <is>
          <t>阅读指南</t>
        </is>
      </c>
      <c r="Q5" s="6" t="inlineStr"/>
      <c r="R5" s="6" t="inlineStr">
        <is>
          <t>期刊提供线索，但正式简历仍需从邮件打开。</t>
        </is>
      </c>
      <c r="S5" s="6" t="inlineStr"/>
      <c r="T5" s="6" t="inlineStr">
        <is>
          <t>player.sample.sprinter</t>
        </is>
      </c>
      <c r="U5" s="6" t="inlineStr"/>
      <c r="V5" s="6" t="inlineStr"/>
      <c r="W5" s="6" t="inlineStr">
        <is>
          <t>示例行。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</row>
  </sheetData>
  <autoFilter ref="A4:W205"/>
  <mergeCells count="2">
    <mergeCell ref="A2:W2"/>
    <mergeCell ref="A1:W1"/>
  </mergeCells>
  <dataValidations count="2">
    <dataValidation sqref="B6:B205" showDropDown="0" showInputMessage="1" showErrorMessage="1" allowBlank="1" errorTitle="字段格式错误" error="请使用模板允许的值。" promptTitle="page_number" prompt="请按列标题批注和下拉列表填写。" type="whole" operator="between">
      <formula1>1</formula1>
      <formula2>99</formula2>
    </dataValidation>
    <dataValidation sqref="C6:C205" showDropDown="0" showInputMessage="1" showErrorMessage="1" allowBlank="1" errorTitle="字段格式错误" error="请使用模板允许的值。" promptTitle="layout" prompt="请按列标题批注和下拉列表填写。" type="list">
      <formula1>"Cover,Feature,ScoutReport"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25" customWidth="1" min="4" max="4"/>
    <col width="20" customWidth="1" min="5" max="5"/>
    <col width="32" customWidth="1" min="6" max="6"/>
    <col width="16" customWidth="1" min="7" max="7"/>
    <col width="16" customWidth="1" min="8" max="8"/>
    <col width="38" customWidth="1" min="9" max="9"/>
    <col width="16" customWidth="1" min="10" max="10"/>
    <col width="40" customWidth="1" min="11" max="11"/>
  </cols>
  <sheetData>
    <row r="1" ht="28" customHeight="1">
      <c r="A1" s="1" t="inlineStr">
        <is>
          <t>附件 Assets</t>
        </is>
      </c>
    </row>
    <row r="2" ht="34" customHeight="1">
      <c r="A2" s="2" t="inlineStr">
        <is>
          <t>所有视觉附件必须原创、已授权或风格化生成；不得直接提交现实球员照片和球队徽章。</t>
        </is>
      </c>
    </row>
    <row r="4" ht="38" customHeight="1">
      <c r="A4" s="5" t="inlineStr">
        <is>
          <t>asset_id</t>
        </is>
      </c>
      <c r="B4" s="5" t="inlineStr">
        <is>
          <t>submit_status</t>
        </is>
      </c>
      <c r="C4" s="5" t="inlineStr">
        <is>
          <t>owner_type</t>
        </is>
      </c>
      <c r="D4" s="5" t="inlineStr">
        <is>
          <t>owner_id</t>
        </is>
      </c>
      <c r="E4" s="5" t="inlineStr">
        <is>
          <t>purpose</t>
        </is>
      </c>
      <c r="F4" s="5" t="inlineStr">
        <is>
          <t>filename</t>
        </is>
      </c>
      <c r="G4" s="5" t="inlineStr">
        <is>
          <t>file_format</t>
        </is>
      </c>
      <c r="H4" s="5" t="inlineStr">
        <is>
          <t>dimensions</t>
        </is>
      </c>
      <c r="I4" s="5" t="inlineStr">
        <is>
          <t>creator_or_source</t>
        </is>
      </c>
      <c r="J4" s="5" t="inlineStr">
        <is>
          <t>rights_confirmed</t>
        </is>
      </c>
      <c r="K4" s="5" t="inlineStr">
        <is>
          <t>notes</t>
        </is>
      </c>
    </row>
    <row r="5" ht="72" customHeight="1">
      <c r="A5" s="6" t="inlineStr">
        <is>
          <t>asset.player.sample.portrait</t>
        </is>
      </c>
      <c r="B5" s="6" t="inlineStr">
        <is>
          <t>Draft</t>
        </is>
      </c>
      <c r="C5" s="6" t="inlineStr">
        <is>
          <t>Player</t>
        </is>
      </c>
      <c r="D5" s="6" t="inlineStr">
        <is>
          <t>player.sample.sprinter</t>
        </is>
      </c>
      <c r="E5" s="6" t="inlineStr">
        <is>
          <t>Portrait</t>
        </is>
      </c>
      <c r="F5" s="6" t="inlineStr">
        <is>
          <t>player_sample_sprinter.png</t>
        </is>
      </c>
      <c r="G5" s="6" t="inlineStr">
        <is>
          <t>PNG</t>
        </is>
      </c>
      <c r="H5" s="6" t="inlineStr">
        <is>
          <t>1024x1024</t>
        </is>
      </c>
      <c r="I5" s="6" t="inlineStr">
        <is>
          <t>原创插画 / 待填写作者</t>
        </is>
      </c>
      <c r="J5" s="6" t="inlineStr">
        <is>
          <t>FALSE</t>
        </is>
      </c>
      <c r="K5" s="6" t="inlineStr">
        <is>
          <t>示例行。</t>
        </is>
      </c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</sheetData>
  <autoFilter ref="A4:K205"/>
  <mergeCells count="2">
    <mergeCell ref="A2:K2"/>
    <mergeCell ref="A1:K1"/>
  </mergeCells>
  <conditionalFormatting sqref="B6:B205">
    <cfRule type="expression" priority="1" dxfId="0">
      <formula>B6="Ready"</formula>
    </cfRule>
  </conditionalFormatting>
  <dataValidations count="5">
    <dataValidation sqref="B6:B205" showDropDown="0" showInputMessage="1" showErrorMessage="1" allowBlank="1" errorTitle="字段格式错误" error="请使用模板允许的值。" promptTitle="submit_status" prompt="请按列标题批注和下拉列表填写。" type="list">
      <formula1>"Draft,Ready,Approved"</formula1>
    </dataValidation>
    <dataValidation sqref="C6:C205" showDropDown="0" showInputMessage="1" showErrorMessage="1" allowBlank="1" errorTitle="字段格式错误" error="请使用模板允许的值。" promptTitle="owner_type" prompt="请按列标题批注和下拉列表填写。" type="list">
      <formula1>"Player,MagazineIssue,MagazinePage,Other"</formula1>
    </dataValidation>
    <dataValidation sqref="E6:E205" showDropDown="0" showInputMessage="1" showErrorMessage="1" allowBlank="1" errorTitle="字段格式错误" error="请使用模板允许的值。" promptTitle="purpose" prompt="请按列标题批注和下拉列表填写。" type="list">
      <formula1>"Portrait,Cover,Illustration,Icon,Other"</formula1>
    </dataValidation>
    <dataValidation sqref="G6:G205" showDropDown="0" showInputMessage="1" showErrorMessage="1" allowBlank="1" errorTitle="字段格式错误" error="请使用模板允许的值。" promptTitle="file_format" prompt="请按列标题批注和下拉列表填写。" type="list">
      <formula1>"PNG,JPG,PSD,Other"</formula1>
    </dataValidation>
    <dataValidation sqref="J6:J205" showDropDown="0" showInputMessage="1" showErrorMessage="1" allowBlank="1" errorTitle="字段格式错误" error="请使用模板允许的值。" promptTitle="rights_confirmed" prompt="请按列标题批注和下拉列表填写。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8" customWidth="1" min="3" max="3"/>
    <col width="22" customWidth="1" min="4" max="4"/>
    <col width="50" customWidth="1" min="5" max="5"/>
  </cols>
  <sheetData>
    <row r="1" ht="28" customHeight="1">
      <c r="A1" s="1" t="inlineStr">
        <is>
          <t>提交检查</t>
        </is>
      </c>
    </row>
    <row r="2" ht="34" customHeight="1">
      <c r="A2" s="2" t="inlineStr">
        <is>
          <t>这些公式用于快速发现缺失 ID 和重复 ID；跨表引用及文案长度仍会在整合时进一步校验。</t>
        </is>
      </c>
    </row>
    <row r="4">
      <c r="A4" s="8" t="inlineStr">
        <is>
          <t>工作表</t>
        </is>
      </c>
      <c r="B4" s="8" t="inlineStr">
        <is>
          <t>Ready/Approved 数量</t>
        </is>
      </c>
      <c r="C4" s="8" t="inlineStr">
        <is>
          <t>缺少主 ID</t>
        </is>
      </c>
      <c r="D4" s="8" t="inlineStr">
        <is>
          <t>重复主 ID 提示</t>
        </is>
      </c>
      <c r="E4" s="8" t="inlineStr">
        <is>
          <t>人工检查</t>
        </is>
      </c>
    </row>
    <row r="5">
      <c r="A5" s="4" t="inlineStr">
        <is>
          <t>球员 Players</t>
        </is>
      </c>
      <c r="B5" s="4">
        <f>COUNTIF('球员 Players'!B6:B205,"Ready")+COUNTIF('球员 Players'!B6:B205,"Approved")</f>
        <v/>
      </c>
      <c r="C5" s="4">
        <f>COUNTIFS('球员 Players'!B6:B205,"Ready",'球员 Players'!A6:A205,"")+COUNTIFS('球员 Players'!B6:B205,"Approved",'球员 Players'!A6:A205,"")</f>
        <v/>
      </c>
      <c r="D5" s="4">
        <f>IF(SUMPRODUCT(('球员 Players'!A6:A205&lt;&gt;"")*(COUNTIF('球员 Players'!A6:A205,'球员 Players'!A6:A205)&gt;1))&gt;0,"有重复","通过")</f>
        <v/>
      </c>
      <c r="E5" s="4" t="inlineStr">
        <is>
          <t>检查引用、中文必填、隐藏信息和文案长度</t>
        </is>
      </c>
    </row>
    <row r="6">
      <c r="A6" s="4" t="inlineStr">
        <is>
          <t>招聘 Demands</t>
        </is>
      </c>
      <c r="B6" s="4">
        <f>COUNTIF('招聘 Demands'!B6:B205,"Ready")+COUNTIF('招聘 Demands'!B6:B205,"Approved")</f>
        <v/>
      </c>
      <c r="C6" s="4">
        <f>COUNTIFS('招聘 Demands'!B6:B205,"Ready",'招聘 Demands'!A6:A205,"")+COUNTIFS('招聘 Demands'!B6:B205,"Approved",'招聘 Demands'!A6:A205,"")</f>
        <v/>
      </c>
      <c r="D6" s="4">
        <f>IF(SUMPRODUCT(('招聘 Demands'!A6:A205&lt;&gt;"")*(COUNTIF('招聘 Demands'!A6:A205,'招聘 Demands'!A6:A205)&gt;1))&gt;0,"有重复","通过")</f>
        <v/>
      </c>
      <c r="E6" s="4" t="inlineStr">
        <is>
          <t>检查引用、中文必填、隐藏信息和文案长度</t>
        </is>
      </c>
    </row>
    <row r="7">
      <c r="A7" s="4" t="inlineStr">
        <is>
          <t>招聘槽位 DemandSlots</t>
        </is>
      </c>
      <c r="B7" s="4">
        <f>COUNTA('招聘槽位 DemandSlots'!A6:A205)</f>
        <v/>
      </c>
      <c r="C7" s="4">
        <f>COUNTBLANK('招聘槽位 DemandSlots'!A6:A205)-COUNTBLANK('招聘槽位 DemandSlots'!B6:B205)</f>
        <v/>
      </c>
      <c r="D7" s="4">
        <f>IF(SUMPRODUCT(('招聘槽位 DemandSlots'!A6:A205&lt;&gt;"")*(COUNTIF('招聘槽位 DemandSlots'!A6:A205,'招聘槽位 DemandSlots'!A6:A205)&gt;1))&gt;0,"有重复","通过")</f>
        <v/>
      </c>
      <c r="E7" s="4" t="inlineStr">
        <is>
          <t>检查引用、中文必填、隐藏信息和文案长度</t>
        </is>
      </c>
    </row>
    <row r="8">
      <c r="A8" s="4" t="inlineStr">
        <is>
          <t>邮件 Mails</t>
        </is>
      </c>
      <c r="B8" s="4">
        <f>COUNTIF('邮件 Mails'!B6:B205,"Ready")+COUNTIF('邮件 Mails'!B6:B205,"Approved")</f>
        <v/>
      </c>
      <c r="C8" s="4">
        <f>COUNTIFS('邮件 Mails'!B6:B205,"Ready",'邮件 Mails'!A6:A205,"")+COUNTIFS('邮件 Mails'!B6:B205,"Approved",'邮件 Mails'!A6:A205,"")</f>
        <v/>
      </c>
      <c r="D8" s="4">
        <f>IF(SUMPRODUCT(('邮件 Mails'!A6:A205&lt;&gt;"")*(COUNTIF('邮件 Mails'!A6:A205,'邮件 Mails'!A6:A205)&gt;1))&gt;0,"有重复","通过")</f>
        <v/>
      </c>
      <c r="E8" s="4" t="inlineStr">
        <is>
          <t>检查引用、中文必填、隐藏信息和文案长度</t>
        </is>
      </c>
    </row>
    <row r="9">
      <c r="A9" s="4" t="inlineStr">
        <is>
          <t>期刊 Issues</t>
        </is>
      </c>
      <c r="B9" s="4">
        <f>COUNTIF('期刊 Issues'!B6:B205,"Ready")+COUNTIF('期刊 Issues'!B6:B205,"Approved")</f>
        <v/>
      </c>
      <c r="C9" s="4">
        <f>COUNTIFS('期刊 Issues'!B6:B205,"Ready",'期刊 Issues'!A6:A205,"")+COUNTIFS('期刊 Issues'!B6:B205,"Approved",'期刊 Issues'!A6:A205,"")</f>
        <v/>
      </c>
      <c r="D9" s="4">
        <f>IF(SUMPRODUCT(('期刊 Issues'!A6:A205&lt;&gt;"")*(COUNTIF('期刊 Issues'!A6:A205,'期刊 Issues'!A6:A205)&gt;1))&gt;0,"有重复","通过")</f>
        <v/>
      </c>
      <c r="E9" s="4" t="inlineStr">
        <is>
          <t>检查引用、中文必填、隐藏信息和文案长度</t>
        </is>
      </c>
    </row>
    <row r="10">
      <c r="A10" s="4" t="inlineStr">
        <is>
          <t>期刊页面 MagazinePages</t>
        </is>
      </c>
      <c r="B10" s="4">
        <f>COUNTA('期刊页面 MagazinePages'!A6:A205)</f>
        <v/>
      </c>
      <c r="C10" s="4">
        <f>COUNTBLANK('期刊页面 MagazinePages'!A6:A205)-COUNTBLANK('期刊页面 MagazinePages'!B6:B205)</f>
        <v/>
      </c>
      <c r="D10" s="4">
        <f>IF(SUMPRODUCT(('期刊页面 MagazinePages'!A6:A205&lt;&gt;"")*(COUNTIF('期刊页面 MagazinePages'!A6:A205,'期刊页面 MagazinePages'!A6:A205)&gt;1))&gt;0,"有重复","通过")</f>
        <v/>
      </c>
      <c r="E10" s="4" t="inlineStr">
        <is>
          <t>检查引用、中文必填、隐藏信息和文案长度</t>
        </is>
      </c>
    </row>
    <row r="11">
      <c r="A11" s="4" t="inlineStr">
        <is>
          <t>附件 Assets</t>
        </is>
      </c>
      <c r="B11" s="4">
        <f>COUNTIF('附件 Assets'!B6:B205,"Ready")+COUNTIF('附件 Assets'!B6:B205,"Approved")</f>
        <v/>
      </c>
      <c r="C11" s="4">
        <f>COUNTIFS('附件 Assets'!B6:B205,"Ready",'附件 Assets'!A6:A205,"")+COUNTIFS('附件 Assets'!B6:B205,"Approved",'附件 Assets'!A6:A205,"")</f>
        <v/>
      </c>
      <c r="D11" s="4">
        <f>IF(SUMPRODUCT(('附件 Assets'!A6:A205&lt;&gt;"")*(COUNTIF('附件 Assets'!A6:A205,'附件 Assets'!A6:A205)&gt;1))&gt;0,"有重复","通过")</f>
        <v/>
      </c>
      <c r="E11" s="4" t="inlineStr">
        <is>
          <t>检查引用、中文必填、隐藏信息和文案长度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New Player Hunter</dc:creator>
  <dc:title>New Player Hunter 内容人工提交模板</dc:title>
  <dc:subject>球员、招聘、邮件与电子期刊内容采集</dc:subject>
  <dcterms:created xsi:type="dcterms:W3CDTF">2026-08-10T11:18:52Z</dcterms:created>
  <dcterms:modified xsi:type="dcterms:W3CDTF">2026-08-19T14:29:52Z</dcterms:modified>
</cp:coreProperties>
</file>